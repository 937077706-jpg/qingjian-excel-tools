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f3cf9269f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先看说明" sheetId="1" r:id="R91213dab138a4cff"/>
    <x:sheet xmlns:r="http://schemas.openxmlformats.org/officeDocument/2006/relationships" name="销售演示" sheetId="2" r:id="R8d50dd57158c40ff"/>
    <x:sheet xmlns:r="http://schemas.openxmlformats.org/officeDocument/2006/relationships" name="汇总演示" sheetId="3" r:id="Rb8c34188efe0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.00;[Red]-¥#,##0.00;–"/>
  </x:numFmts>
  <x:fonts count="8">
    <x:font>
      <x:sz val="11"/>
      <x:name val="Carlito"/>
    </x:font>
    <x:font>
      <x:b/>
      <x:sz val="17"/>
      <x:color rgb="FFFFFFFF"/>
      <x:name val="Carlito"/>
    </x:font>
    <x:font>
      <x:sz val="11"/>
      <x:color rgb="FF183D46"/>
      <x:name val="Carlito"/>
    </x:font>
    <x:font>
      <x:sz val="10"/>
      <x:color rgb="FF183D46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183D46"/>
      <x:name val="Carlito"/>
    </x:font>
    <x:font>
      <x:b/>
      <x:sz val="11"/>
      <x:color rgb="FF183D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D46"/>
      </x:patternFill>
    </x:fill>
    <x:fill>
      <x:patternFill patternType="solid">
        <x:fgColor rgb="FFE8F4EF"/>
      </x:patternFill>
    </x:fill>
    <x:fill>
      <x:patternFill patternType="solid">
        <x:fgColor rgb="FFFBF6E9"/>
      </x:patternFill>
    </x:fill>
    <x:fill>
      <x:patternFill patternType="solid">
        <x:fgColor rgb="FFFFFFFF"/>
      </x:patternFill>
    </x:fill>
    <x:fill>
      <x:patternFill patternType="solid">
        <x:fgColor rgb="FF147A73"/>
      </x:patternFill>
    </x:fill>
    <x:fill>
      <x:patternFill patternType="solid">
        <x:fgColor rgb="FFFFF2CB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3" borderId="0" xfId="0" applyNumberFormat="1" applyFont="1" applyFill="1" applyBorder="1"/>
    <x:xf numFmtId="201" fontId="0" fillId="0" borderId="0" xfId="0" applyNumberFormat="1" applyFont="1" applyFill="1" applyBorder="1"/>
    <x:xf numFmtId="201" fontId="0" fillId="7" borderId="1" xfId="0" applyNumberFormat="1" applyFont="1" applyFill="1" applyBorder="1"/>
    <x:xf numFmtId="201" fontId="0" fillId="3" borderId="1" xfId="0" applyNumberFormat="1" applyFont="1" applyFill="1" applyBorder="1"/>
    <x:xf numFmtId="201" fontId="0" fillId="0" borderId="1" xfId="0" applyNumberFormat="1" applyFont="1" applyFill="1" applyBorder="1"/>
    <x:xf numFmtId="201" fontId="0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1" fontId="0" fillId="2" borderId="1" xfId="0" applyNumberFormat="1" applyFont="1" applyFill="1" applyBorder="1"/>
    <x:xf numFmtId="0" fontId="5" fillId="2" borderId="1" xfId="0" applyNumberFormat="1" applyFont="1" applyFill="1" applyBorder="1"/>
    <x:xf numFmtId="201" fontId="5" fillId="2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1" fontId="6" fillId="4" borderId="0" xfId="0" applyNumberFormat="1" applyFont="1" applyFill="1" applyBorder="1"/>
    <x:xf numFmtId="201" fontId="6" fillId="4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1" fontId="7" fillId="3" borderId="0" xfId="0" applyNumberFormat="1" applyFont="1" applyFill="1" applyBorder="1"/>
    <x:xf numFmtId="201" fontId="7" fillId="3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B3414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e0eb450cc4ca1" /><Relationship Type="http://schemas.openxmlformats.org/officeDocument/2006/relationships/theme" Target="/xl/theme/theme1.xml" Id="R94fad9d9d3624993" /><Relationship Type="http://schemas.openxmlformats.org/officeDocument/2006/relationships/sharedStrings" Target="/xl/sharedStrings.xml" Id="R620664392b8641e4" /><Relationship Type="http://schemas.openxmlformats.org/officeDocument/2006/relationships/worksheet" Target="/xl/worksheets/sheet1.xml" Id="R91213dab138a4cff" /><Relationship Type="http://schemas.openxmlformats.org/officeDocument/2006/relationships/worksheet" Target="/xl/worksheets/sheet2.xml" Id="R8d50dd57158c40ff" /><Relationship Type="http://schemas.openxmlformats.org/officeDocument/2006/relationships/worksheet" Target="/xl/worksheets/sheet3.xml" Id="Rb8c34188efe041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4" t="str">
        <x:v>轻简表格铺｜小店盈亏表 - 免费功能演示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4" ht="30" customHeight="1">
      <x:c r="A4" s="9" t="str">
        <x:v>这是一份可以实际打开和修改的免费演示表格，并非收费完整版。</x:v>
      </x:c>
      <x:c r="B4" s="9"/>
      <x:c r="C4" s="9"/>
      <x:c r="D4" s="9"/>
      <x:c r="E4" s="9"/>
      <x:c r="F4" s="9"/>
      <x:c r="G4" s="9"/>
      <x:c r="H4" s="9"/>
    </x:row>
    <x:row r="6" ht="28" customHeight="1">
      <x:c r="A6" s="13" t="str">
        <x:v>01  查看「销售演示」，黄色区域代表手动填写，绿色区域代表自动计算。</x:v>
      </x:c>
      <x:c r="B6" s="13"/>
      <x:c r="C6" s="13"/>
      <x:c r="D6" s="13"/>
      <x:c r="E6" s="13"/>
      <x:c r="F6" s="13"/>
      <x:c r="G6" s="13"/>
      <x:c r="H6" s="13"/>
    </x:row>
    <x:row r="7" ht="28" customHeight="1">
      <x:c r="A7" s="17" t="str">
        <x:v>02  自己修改示例金额，看看单笔简化净利润与总计如何变化。</x:v>
      </x:c>
      <x:c r="B7" s="17"/>
      <x:c r="C7" s="17"/>
      <x:c r="D7" s="17"/>
      <x:c r="E7" s="17"/>
      <x:c r="F7" s="17"/>
      <x:c r="G7" s="17"/>
      <x:c r="H7" s="17"/>
    </x:row>
    <x:row r="8" ht="28" customHeight="1">
      <x:c r="A8" s="13" t="str">
        <x:v>03  「汇总演示」会自动累计所填的销售、退款、成本和费用。</x:v>
      </x:c>
      <x:c r="B8" s="13"/>
      <x:c r="C8" s="13"/>
      <x:c r="D8" s="13"/>
      <x:c r="E8" s="13"/>
      <x:c r="F8" s="13"/>
      <x:c r="G8" s="13"/>
      <x:c r="H8" s="13"/>
    </x:row>
    <x:row r="9" ht="28" customHeight="1">
      <x:c r="A9" s="17" t="str">
        <x:v>04  收费完整版另有渠道分类、月度分析、年度趋势和更多录入提醒。</x:v>
      </x:c>
      <x:c r="B9" s="17"/>
      <x:c r="C9" s="17"/>
      <x:c r="D9" s="17"/>
      <x:c r="E9" s="17"/>
      <x:c r="F9" s="17"/>
      <x:c r="G9" s="17"/>
      <x:c r="H9" s="17"/>
    </x:row>
    <x:row r="10" ht="28" customHeight="1">
      <x:c r="A10" s="13" t="str">
        <x:v>05  本表仅用于经营概算教学，不替代正式会计账簿或税务申报。</x:v>
      </x:c>
      <x:c r="B10" s="13"/>
      <x:c r="C10" s="13"/>
      <x:c r="D10" s="13"/>
      <x:c r="E10" s="13"/>
      <x:c r="F10" s="13"/>
      <x:c r="G10" s="13"/>
      <x:c r="H10" s="13"/>
    </x:row>
    <x:row r="11" ht="28" customHeight="1">
      <x:c r="A11" s="17" t="str">
        <x:v>06  请勿填写真实客户个人信息，也不要把商品正式版公开上传。</x:v>
      </x:c>
      <x:c r="B11" s="17"/>
      <x:c r="C11" s="17"/>
      <x:c r="D11" s="17"/>
      <x:c r="E11" s="17"/>
      <x:c r="F11" s="17"/>
      <x:c r="G11" s="17"/>
      <x:c r="H11" s="17"/>
    </x:row>
  </x:sheetData>
  <x:mergeCells>
    <x:mergeCell ref="A1:H2"/>
    <x:mergeCell ref="A4:H4"/>
    <x:mergeCell ref="A6:H6"/>
    <x:mergeCell ref="A7:H7"/>
    <x:mergeCell ref="A8:H8"/>
    <x:mergeCell ref="A9:H9"/>
    <x:mergeCell ref="A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32" customHeight="1">
      <x:c r="A1" s="4" t="str">
        <x:v>小店日常销售｜公开演示样例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20" t="str">
        <x:v>黄色填写，绿色计算；仅用于展示基础操作，不包含完整商品功能。</x:v>
      </x:c>
      <x:c r="B3" s="20"/>
      <x:c r="C3" s="20"/>
      <x:c r="D3" s="20"/>
      <x:c r="E3" s="20"/>
      <x:c r="F3" s="20"/>
      <x:c r="G3" s="20"/>
      <x:c r="H3" s="20"/>
    </x:row>
    <x:row r="5" ht="30" customHeight="1">
      <x:c r="A5" s="25" t="str">
        <x:v>日期</x:v>
      </x:c>
      <x:c r="B5" s="25" t="str">
        <x:v>记录类型</x:v>
      </x:c>
      <x:c r="C5" s="25" t="str">
        <x:v>销售收入</x:v>
      </x:c>
      <x:c r="D5" s="25" t="str">
        <x:v>退款金额</x:v>
      </x:c>
      <x:c r="E5" s="25" t="str">
        <x:v>已售商品成本</x:v>
      </x:c>
      <x:c r="F5" s="25" t="str">
        <x:v>平台及配送费用</x:v>
      </x:c>
      <x:c r="G5" s="25" t="str">
        <x:v>其他经营费用</x:v>
      </x:c>
      <x:c r="H5" s="25" t="str">
        <x:v>简化净利润</x:v>
      </x:c>
    </x:row>
    <x:row r="6">
      <x:c r="A6" s="32" t="n">
        <x:v>46296</x:v>
      </x:c>
      <x:c r="B6" s="30" t="str">
        <x:v>门店零售</x:v>
      </x:c>
      <x:c r="C6" s="34" t="n">
        <x:v>500</x:v>
      </x:c>
      <x:c r="D6" s="34" t="n">
        <x:v>0</x:v>
      </x:c>
      <x:c r="E6" s="34" t="n">
        <x:v>215</x:v>
      </x:c>
      <x:c r="F6" s="34" t="n">
        <x:v>20</x:v>
      </x:c>
      <x:c r="G6" s="34" t="n">
        <x:v>15</x:v>
      </x:c>
      <x:c r="H6" s="35" t="n">
        <x:f>IF(COUNTA(C6:G6)=0,"",N(C6)-SUM(D6:G6))</x:f>
        <x:v>250</x:v>
      </x:c>
    </x:row>
    <x:row r="7">
      <x:c r="A7" s="32" t="n">
        <x:v>46297</x:v>
      </x:c>
      <x:c r="B7" s="30" t="str">
        <x:v>线上销售</x:v>
      </x:c>
      <x:c r="C7" s="34" t="n">
        <x:v>320</x:v>
      </x:c>
      <x:c r="D7" s="34" t="n">
        <x:v>20</x:v>
      </x:c>
      <x:c r="E7" s="34" t="n">
        <x:v>135</x:v>
      </x:c>
      <x:c r="F7" s="34" t="n">
        <x:v>18</x:v>
      </x:c>
      <x:c r="G7" s="34" t="n">
        <x:v>10</x:v>
      </x:c>
      <x:c r="H7" s="35" t="n">
        <x:f>IF(COUNTA(C7:G7)=0,"",N(C7)-SUM(D7:G7))</x:f>
        <x:v>137</x:v>
      </x:c>
    </x:row>
    <x:row r="8">
      <x:c r="A8" s="32" t="n">
        <x:v>46298</x:v>
      </x:c>
      <x:c r="B8" s="30" t="str">
        <x:v>退款记录</x:v>
      </x:c>
      <x:c r="C8" s="34" t="n">
        <x:v>0</x:v>
      </x:c>
      <x:c r="D8" s="34" t="n">
        <x:v>100</x:v>
      </x:c>
      <x:c r="E8" s="34" t="n">
        <x:v>0</x:v>
      </x:c>
      <x:c r="F8" s="34" t="n">
        <x:v>0</x:v>
      </x:c>
      <x:c r="G8" s="34" t="n">
        <x:v>0</x:v>
      </x:c>
      <x:c r="H8" s="35" t="n">
        <x:f>IF(COUNTA(C8:G8)=0,"",N(C8)-SUM(D8:G8))</x:f>
        <x:v>-100</x:v>
      </x:c>
    </x:row>
    <x:row r="9">
      <x:c r="A9" s="32" t="n">
        <x:v>46299</x:v>
      </x:c>
      <x:c r="B9" s="30" t="str">
        <x:v>线上销售</x:v>
      </x:c>
      <x:c r="C9" s="34" t="n">
        <x:v>120</x:v>
      </x:c>
      <x:c r="D9" s="34" t="n">
        <x:v>0</x:v>
      </x:c>
      <x:c r="E9" s="34" t="n">
        <x:v>140</x:v>
      </x:c>
      <x:c r="F9" s="34" t="n">
        <x:v>4</x:v>
      </x:c>
      <x:c r="G9" s="34" t="n">
        <x:v>0</x:v>
      </x:c>
      <x:c r="H9" s="35" t="n">
        <x:f>IF(COUNTA(C9:G9)=0,"",N(C9)-SUM(D9:G9))</x:f>
        <x:v>-24</x:v>
      </x:c>
    </x:row>
    <x:row r="10">
      <x:c r="A10" s="32" t="n">
        <x:v>46300</x:v>
      </x:c>
      <x:c r="B10" s="30" t="str">
        <x:v>门店零售</x:v>
      </x:c>
      <x:c r="C10" s="34" t="n">
        <x:v>250.5</x:v>
      </x:c>
      <x:c r="D10" s="34" t="n">
        <x:v>0</x:v>
      </x:c>
      <x:c r="E10" s="34" t="n">
        <x:v>100</x:v>
      </x:c>
      <x:c r="F10" s="34" t="n">
        <x:v>3.5</x:v>
      </x:c>
      <x:c r="G10" s="34" t="n">
        <x:v>6</x:v>
      </x:c>
      <x:c r="H10" s="35" t="n">
        <x:f>IF(COUNTA(C10:G10)=0,"",N(C10)-SUM(D10:G10))</x:f>
        <x:v>141</x:v>
      </x:c>
    </x:row>
    <x:row r="11">
      <x:c r="A11" s="32"/>
      <x:c r="B11" s="30"/>
      <x:c r="C11" s="34"/>
      <x:c r="D11" s="34"/>
      <x:c r="E11" s="34"/>
      <x:c r="F11" s="34"/>
      <x:c r="G11" s="34"/>
      <x:c r="H11" s="35" t="str">
        <x:f>IF(COUNTA(C11:G11)=0,"",N(C11)-SUM(D11:G11))</x:f>
      </x:c>
    </x:row>
    <x:row r="12">
      <x:c r="A12" s="32"/>
      <x:c r="B12" s="30"/>
      <x:c r="C12" s="34"/>
      <x:c r="D12" s="34"/>
      <x:c r="E12" s="34"/>
      <x:c r="F12" s="34"/>
      <x:c r="G12" s="34"/>
      <x:c r="H12" s="35" t="str">
        <x:f>IF(COUNTA(C12:G12)=0,"",N(C12)-SUM(D12:G12))</x:f>
      </x:c>
    </x:row>
    <x:row r="13">
      <x:c r="A13" s="32"/>
      <x:c r="B13" s="30"/>
      <x:c r="C13" s="34"/>
      <x:c r="D13" s="34"/>
      <x:c r="E13" s="34"/>
      <x:c r="F13" s="34"/>
      <x:c r="G13" s="34"/>
      <x:c r="H13" s="35" t="str">
        <x:f>IF(COUNTA(C13:G13)=0,"",N(C13)-SUM(D13:G13))</x:f>
      </x:c>
    </x:row>
    <x:row r="14">
      <x:c r="A14" s="32"/>
      <x:c r="B14" s="30"/>
      <x:c r="C14" s="34"/>
      <x:c r="D14" s="34"/>
      <x:c r="E14" s="34"/>
      <x:c r="F14" s="34"/>
      <x:c r="G14" s="34"/>
      <x:c r="H14" s="35" t="str">
        <x:f>IF(COUNTA(C14:G14)=0,"",N(C14)-SUM(D14:G14))</x:f>
      </x:c>
    </x:row>
    <x:row r="15">
      <x:c r="A15" s="32"/>
      <x:c r="B15" s="30"/>
      <x:c r="C15" s="34"/>
      <x:c r="D15" s="34"/>
      <x:c r="E15" s="34"/>
      <x:c r="F15" s="34"/>
      <x:c r="G15" s="34"/>
      <x:c r="H15" s="35" t="str">
        <x:f>IF(COUNTA(C15:G15)=0,"",N(C15)-SUM(D15:G15))</x:f>
      </x:c>
    </x:row>
    <x:row r="16">
      <x:c r="A16" s="32"/>
      <x:c r="B16" s="30"/>
      <x:c r="C16" s="34"/>
      <x:c r="D16" s="34"/>
      <x:c r="E16" s="34"/>
      <x:c r="F16" s="34"/>
      <x:c r="G16" s="34"/>
      <x:c r="H16" s="35" t="str">
        <x:f>IF(COUNTA(C16:G16)=0,"",N(C16)-SUM(D16:G16))</x:f>
      </x:c>
    </x:row>
    <x:row r="17">
      <x:c r="A17" s="32"/>
      <x:c r="B17" s="30"/>
      <x:c r="C17" s="34"/>
      <x:c r="D17" s="34"/>
      <x:c r="E17" s="34"/>
      <x:c r="F17" s="34"/>
      <x:c r="G17" s="34"/>
      <x:c r="H17" s="35" t="str">
        <x:f>IF(COUNTA(C17:G17)=0,"",N(C17)-SUM(D17:G17))</x:f>
      </x:c>
    </x:row>
    <x:row r="18">
      <x:c r="A18" s="32"/>
      <x:c r="B18" s="30"/>
      <x:c r="C18" s="34"/>
      <x:c r="D18" s="34"/>
      <x:c r="E18" s="34"/>
      <x:c r="F18" s="34"/>
      <x:c r="G18" s="34"/>
      <x:c r="H18" s="35" t="str">
        <x:f>IF(COUNTA(C18:G18)=0,"",N(C18)-SUM(D18:G18))</x:f>
      </x:c>
    </x:row>
    <x:row r="19">
      <x:c r="A19" s="32"/>
      <x:c r="B19" s="30"/>
      <x:c r="C19" s="34"/>
      <x:c r="D19" s="34"/>
      <x:c r="E19" s="34"/>
      <x:c r="F19" s="34"/>
      <x:c r="G19" s="34"/>
      <x:c r="H19" s="35" t="str">
        <x:f>IF(COUNTA(C19:G19)=0,"",N(C19)-SUM(D19:G19))</x:f>
      </x:c>
    </x:row>
    <x:row r="20">
      <x:c r="A20" s="32"/>
      <x:c r="B20" s="30"/>
      <x:c r="C20" s="34"/>
      <x:c r="D20" s="34"/>
      <x:c r="E20" s="34"/>
      <x:c r="F20" s="34"/>
      <x:c r="G20" s="34"/>
      <x:c r="H20" s="35" t="str">
        <x:f>IF(COUNTA(C20:G20)=0,"",N(C20)-SUM(D20:G20))</x:f>
      </x:c>
    </x:row>
    <x:row r="21">
      <x:c r="A21" s="32"/>
      <x:c r="B21" s="30"/>
      <x:c r="C21" s="34"/>
      <x:c r="D21" s="34"/>
      <x:c r="E21" s="34"/>
      <x:c r="F21" s="34"/>
      <x:c r="G21" s="34"/>
      <x:c r="H21" s="35" t="str">
        <x:f>IF(COUNTA(C21:G21)=0,"",N(C21)-SUM(D21:G21))</x:f>
      </x:c>
    </x:row>
    <x:row r="22">
      <x:c r="A22" s="32"/>
      <x:c r="B22" s="30"/>
      <x:c r="C22" s="34"/>
      <x:c r="D22" s="34"/>
      <x:c r="E22" s="34"/>
      <x:c r="F22" s="34"/>
      <x:c r="G22" s="34"/>
      <x:c r="H22" s="35" t="str">
        <x:f>IF(COUNTA(C22:G22)=0,"",N(C22)-SUM(D22:G22))</x:f>
      </x:c>
    </x:row>
    <x:row r="23">
      <x:c r="A23" s="32"/>
      <x:c r="B23" s="30"/>
      <x:c r="C23" s="34"/>
      <x:c r="D23" s="34"/>
      <x:c r="E23" s="34"/>
      <x:c r="F23" s="34"/>
      <x:c r="G23" s="34"/>
      <x:c r="H23" s="35" t="str">
        <x:f>IF(COUNTA(C23:G23)=0,"",N(C23)-SUM(D23:G23))</x:f>
      </x:c>
    </x:row>
    <x:row r="24">
      <x:c r="A24" s="32"/>
      <x:c r="B24" s="30"/>
      <x:c r="C24" s="34"/>
      <x:c r="D24" s="34"/>
      <x:c r="E24" s="34"/>
      <x:c r="F24" s="34"/>
      <x:c r="G24" s="34"/>
      <x:c r="H24" s="35" t="str">
        <x:f>IF(COUNTA(C24:G24)=0,"",N(C24)-SUM(D24:G24))</x:f>
      </x:c>
    </x:row>
    <x:row r="25">
      <x:c r="A25" s="32"/>
      <x:c r="B25" s="30"/>
      <x:c r="C25" s="34"/>
      <x:c r="D25" s="34"/>
      <x:c r="E25" s="34"/>
      <x:c r="F25" s="34"/>
      <x:c r="G25" s="34"/>
      <x:c r="H25" s="35" t="str">
        <x:f>IF(COUNTA(C25:G25)=0,"",N(C25)-SUM(D25:G25))</x:f>
      </x:c>
    </x:row>
    <x:row r="26" ht="28" customHeight="1">
      <x:c r="A26" s="41" t="str">
        <x:v>演示数据合计：</x:v>
      </x:c>
      <x:c r="B26" s="41"/>
      <x:c r="C26" s="42"/>
      <x:c r="D26" s="42"/>
      <x:c r="E26" s="42"/>
      <x:c r="F26" s="42"/>
      <x:c r="G26" s="42"/>
      <x:c r="H26" s="42" t="n">
        <x:f>SUM(H6:H25)</x:f>
        <x:v>404</x:v>
      </x:c>
    </x:row>
  </x:sheetData>
  <x:mergeCells>
    <x:mergeCell ref="A1:H2"/>
    <x:mergeCell ref="A3:H3"/>
    <x:mergeCell ref="A26:G26"/>
  </x:mergeCells>
  <x:conditionalFormatting sqref="H6:H25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4" t="str">
        <x:v>演示汇总｜基础销售与费用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4" ht="26" customHeight="1">
      <x:c r="A4" s="20" t="str">
        <x:v>以下数值自动来自「销售演示」，不会涉及任何真实客户数据。</x:v>
      </x:c>
      <x:c r="B4" s="20"/>
      <x:c r="C4" s="20"/>
      <x:c r="D4" s="20"/>
      <x:c r="E4" s="20"/>
      <x:c r="F4" s="20"/>
      <x:c r="G4" s="20"/>
      <x:c r="H4" s="20"/>
    </x:row>
    <x:row r="6" ht="30" customHeight="1">
      <x:c r="A6" s="46" t="str">
        <x:v>销售收入</x:v>
      </x:c>
      <x:c r="B6" s="46"/>
      <x:c r="C6" s="46"/>
      <x:c r="D6" s="46"/>
      <x:c r="E6" s="48" t="n">
        <x:f>SUM('销售演示'!C6:C25)</x:f>
        <x:v>1190.5</x:v>
      </x:c>
      <x:c r="F6" s="46"/>
      <x:c r="G6" s="46"/>
    </x:row>
    <x:row r="7" ht="30" customHeight="1">
      <x:c r="A7" s="50" t="str">
        <x:v>退款金额</x:v>
      </x:c>
      <x:c r="B7" s="50"/>
      <x:c r="C7" s="50"/>
      <x:c r="D7" s="50"/>
      <x:c r="E7" s="52" t="n">
        <x:f>SUM('销售演示'!D6:D25)</x:f>
        <x:v>120</x:v>
      </x:c>
      <x:c r="F7" s="50"/>
      <x:c r="G7" s="50"/>
    </x:row>
    <x:row r="8" ht="30" customHeight="1">
      <x:c r="A8" s="54" t="str">
        <x:v>净销售额</x:v>
      </x:c>
      <x:c r="B8" s="54"/>
      <x:c r="C8" s="54"/>
      <x:c r="D8" s="54"/>
      <x:c r="E8" s="56" t="n">
        <x:f>E6-E7</x:f>
        <x:v>1070.5</x:v>
      </x:c>
      <x:c r="F8" s="54"/>
      <x:c r="G8" s="54"/>
    </x:row>
    <x:row r="9" ht="30" customHeight="1">
      <x:c r="A9" s="50" t="str">
        <x:v>已售商品成本</x:v>
      </x:c>
      <x:c r="B9" s="50"/>
      <x:c r="C9" s="50"/>
      <x:c r="D9" s="50"/>
      <x:c r="E9" s="52" t="n">
        <x:f>SUM('销售演示'!E6:E25)</x:f>
        <x:v>590</x:v>
      </x:c>
      <x:c r="F9" s="50"/>
      <x:c r="G9" s="50"/>
    </x:row>
    <x:row r="10" ht="30" customHeight="1">
      <x:c r="A10" s="46" t="str">
        <x:v>平台及配送费用</x:v>
      </x:c>
      <x:c r="B10" s="46"/>
      <x:c r="C10" s="46"/>
      <x:c r="D10" s="46"/>
      <x:c r="E10" s="48" t="n">
        <x:f>SUM('销售演示'!F6:F25)</x:f>
        <x:v>45.5</x:v>
      </x:c>
      <x:c r="F10" s="46"/>
      <x:c r="G10" s="46"/>
    </x:row>
    <x:row r="11" ht="30" customHeight="1">
      <x:c r="A11" s="50" t="str">
        <x:v>其他经营费用</x:v>
      </x:c>
      <x:c r="B11" s="50"/>
      <x:c r="C11" s="50"/>
      <x:c r="D11" s="50"/>
      <x:c r="E11" s="52" t="n">
        <x:f>SUM('销售演示'!G6:G25)</x:f>
        <x:v>31</x:v>
      </x:c>
      <x:c r="F11" s="50"/>
      <x:c r="G11" s="50"/>
    </x:row>
    <x:row r="12" ht="30" customHeight="1">
      <x:c r="A12" s="54" t="str">
        <x:v>简化净利润</x:v>
      </x:c>
      <x:c r="B12" s="54"/>
      <x:c r="C12" s="54"/>
      <x:c r="D12" s="54"/>
      <x:c r="E12" s="56" t="n">
        <x:f>E8-SUM(E9:E11)</x:f>
        <x:v>404</x:v>
      </x:c>
      <x:c r="F12" s="54"/>
      <x:c r="G12" s="54"/>
    </x:row>
  </x:sheetData>
  <x:mergeCells>
    <x:mergeCell ref="A1:H2"/>
    <x:mergeCell ref="A4:H4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</x:mergeCells>
  <x:pageMargins left="0.7" right="0.7" top="0.75" bottom="0.75" header="0.3" footer="0.3"/>
</x:worksheet>
</file>